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EXCEL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3" i="1"/>
  <c r="D5" i="1"/>
  <c r="D6" i="1"/>
  <c r="D7" i="1"/>
  <c r="D8" i="1" s="1"/>
  <c r="D9" i="1" s="1"/>
  <c r="D10" i="1" s="1"/>
  <c r="D4" i="1"/>
  <c r="D3" i="1"/>
  <c r="C4" i="1" l="1"/>
  <c r="C5" i="1"/>
  <c r="C6" i="1"/>
  <c r="C7" i="1"/>
  <c r="C8" i="1"/>
  <c r="C9" i="1"/>
  <c r="C10" i="1"/>
  <c r="C11" i="1"/>
  <c r="C3" i="1"/>
  <c r="B11" i="1"/>
</calcChain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<sst xmlns="http://schemas.openxmlformats.org/spreadsheetml/2006/main" count="12" uniqueCount="12">
  <si>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</si>
  <si>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</si>
  <si>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</si>
  <si>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E</t>
  </si>
  <si>
    <t>opening(mm)</t>
  </si>
  <si>
    <t>pan</t>
  </si>
  <si>
    <t>sum Mt</t>
  </si>
  <si>
    <t>Mass retained(grams)</t>
  </si>
  <si>
    <t>%Retained</t>
  </si>
  <si>
    <t>cumulative % retained</t>
  </si>
  <si>
    <t>F</t>
  </si>
  <si>
    <t>cumulative % passing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</si>
</sst>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vertical="center"/>
    </xf>
    <xf numFmtId="4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6" sqref="D6"/>
    </sheetView>
  </sheetViews>
  <sheetFormatPr defaultColWidth="20.7109375" defaultRowHeight="15" x14ac:dyDescent="0.25"/>
  <cols>
    <col min="4" max="4" width="20.7109375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10</v>
      </c>
    </row>
    <row r="2" spans="1:5" ht="24.95" customHeight="1" x14ac:dyDescent="0.25">
      <c r="A2" s="8" t="s">
        <v>4</v>
      </c>
      <c r="B2" s="14" t="s">
        <v>7</v>
      </c>
      <c r="C2" s="17" t="s">
        <v>8</v>
      </c>
      <c r="D2" s="17" t="s">
        <v>9</v>
      </c>
      <c r="E2" s="16" t="s">
        <v>11</v>
      </c>
    </row>
    <row r="3" spans="1:5" x14ac:dyDescent="0.25">
      <c r="A3" s="8">
        <v>9.5299999999999994</v>
      </c>
      <c r="B3" s="1">
        <v>0</v>
      </c>
      <c r="C3" s="1">
        <f>B3/649.7*100</f>
        <v>0</v>
      </c>
      <c r="D3" s="18">
        <f>C3</f>
        <v>0</v>
      </c>
      <c r="E3" s="19">
        <f>100-D3</f>
        <v>100</v>
      </c>
    </row>
    <row r="4" spans="1:5" x14ac:dyDescent="0.25">
      <c r="A4" s="8">
        <v>4.75</v>
      </c>
      <c r="B4" s="1">
        <v>53</v>
      </c>
      <c r="C4" s="15">
        <f t="shared" ref="C4:C11" si="0">B4/649.7*100</f>
        <v>8.1576112051716159</v>
      </c>
      <c r="D4" s="18">
        <f>C4+D3</f>
        <v>8.1576112051716159</v>
      </c>
      <c r="E4" s="19">
        <f t="shared" ref="E4:E10" si="1">100-D4</f>
        <v>91.842388794828381</v>
      </c>
    </row>
    <row r="5" spans="1:5" x14ac:dyDescent="0.25">
      <c r="A5" s="8">
        <v>2</v>
      </c>
      <c r="B5" s="1">
        <v>76</v>
      </c>
      <c r="C5" s="15">
        <f t="shared" si="0"/>
        <v>11.697706633830999</v>
      </c>
      <c r="D5" s="18">
        <f t="shared" ref="D5:D11" si="2">C5+D4</f>
        <v>19.855317839002616</v>
      </c>
      <c r="E5" s="19">
        <f t="shared" si="1"/>
        <v>80.144682160997377</v>
      </c>
    </row>
    <row r="6" spans="1:5" x14ac:dyDescent="0.25">
      <c r="A6" s="8">
        <v>0.85</v>
      </c>
      <c r="B6" s="1">
        <v>73</v>
      </c>
      <c r="C6" s="15">
        <f t="shared" si="0"/>
        <v>11.235955056179774</v>
      </c>
      <c r="D6" s="18">
        <f t="shared" si="2"/>
        <v>31.091272895182392</v>
      </c>
      <c r="E6" s="19">
        <f t="shared" si="1"/>
        <v>68.908727104817615</v>
      </c>
    </row>
    <row r="7" spans="1:5" x14ac:dyDescent="0.25">
      <c r="A7" s="8">
        <v>0.42499999999999999</v>
      </c>
      <c r="B7" s="1">
        <v>142</v>
      </c>
      <c r="C7" s="15">
        <f t="shared" si="0"/>
        <v>21.856241342157919</v>
      </c>
      <c r="D7" s="18">
        <f t="shared" si="2"/>
        <v>52.947514237340314</v>
      </c>
      <c r="E7" s="19">
        <f t="shared" si="1"/>
        <v>47.052485762659686</v>
      </c>
    </row>
    <row r="8" spans="1:5" x14ac:dyDescent="0.25">
      <c r="A8" s="8">
        <v>0.15</v>
      </c>
      <c r="B8" s="1">
        <v>85.4</v>
      </c>
      <c r="C8" s="15">
        <f t="shared" si="0"/>
        <v>13.144528243804832</v>
      </c>
      <c r="D8" s="18">
        <f t="shared" si="2"/>
        <v>66.092042481145143</v>
      </c>
      <c r="E8" s="19">
        <f t="shared" si="1"/>
        <v>33.907957518854857</v>
      </c>
    </row>
    <row r="9" spans="1:5" x14ac:dyDescent="0.25">
      <c r="A9" s="8">
        <v>7.4999999999999997E-2</v>
      </c>
      <c r="B9" s="1">
        <v>120.5</v>
      </c>
      <c r="C9" s="15">
        <f t="shared" si="0"/>
        <v>18.547021702324148</v>
      </c>
      <c r="D9" s="18">
        <f t="shared" si="2"/>
        <v>84.639064183469287</v>
      </c>
      <c r="E9" s="19">
        <f t="shared" si="1"/>
        <v>15.360935816530713</v>
      </c>
    </row>
    <row r="10" spans="1:5" x14ac:dyDescent="0.25">
      <c r="A10" s="8" t="s">
        <v>5</v>
      </c>
      <c r="B10" s="1">
        <v>99.8</v>
      </c>
      <c r="C10" s="15">
        <f t="shared" si="0"/>
        <v>15.360935816530704</v>
      </c>
      <c r="D10" s="18">
        <f t="shared" si="2"/>
        <v>99.999999999999986</v>
      </c>
      <c r="E10" s="19">
        <f t="shared" si="1"/>
        <v>0</v>
      </c>
    </row>
    <row r="11" spans="1:5" x14ac:dyDescent="0.25">
      <c r="A11" s="8" t="s">
        <v>6</v>
      </c>
      <c r="B11" s="1">
        <f>SUM(B3:B10)</f>
        <v>649.69999999999993</v>
      </c>
      <c r="C11" s="3">
        <f t="shared" si="0"/>
        <v>99.999999999999972</v>
      </c>
      <c r="D11" s="18"/>
      <c r="E11" s="9"/>
    </row>
    <row r="12" spans="1:5" x14ac:dyDescent="0.25">
      <c r="A12" s="10"/>
      <c r="B12" s="2"/>
      <c r="C12" s="2"/>
      <c r="D12" s="2"/>
      <c r="E12" s="9"/>
    </row>
    <row r="13" spans="1:5" ht="15.75" thickBot="1" x14ac:dyDescent="0.3">
      <c r="A13" s="11"/>
      <c r="B13" s="12"/>
      <c r="C13" s="12"/>
      <c r="D13" s="12"/>
      <c r="E13" s="1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2026-06-16T17:48:51Z</cp:lastPrinted>
  <dcterms:created xsi:type="dcterms:W3CDTF">2026-06-16T17:28:56Z</dcterms:created>
  <dcterms:modified xsi:type="dcterms:W3CDTF">2026-06-17T15:27:24Z</dcterms:modified>
</cp:coreProperties>
</file>